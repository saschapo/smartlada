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c5b070b4a49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купка" sheetId="1" r:id="Rd46473cd8cb14b3a"/>
    <x:sheet xmlns:r="http://schemas.openxmlformats.org/officeDocument/2006/relationships" name="Проверка BOM" sheetId="2" r:id="R5518be5403d14023"/>
    <x:sheet xmlns:r="http://schemas.openxmlformats.org/officeDocument/2006/relationships" name="Магазины" sheetId="3" r:id="R7d8f027227a5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2F6B8A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200" fontId="0" fillId="0" borderId="0" xfId="0" applyNumberFormat="1" applyFont="1" applyFill="1" applyBorder="1"/>
    <x:xf numFmtId="201" fontId="0" fillId="5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/>
    </x:xf>
    <x:xf numFmtId="201" fontId="0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d4627a4154bed" /><Relationship Type="http://schemas.openxmlformats.org/officeDocument/2006/relationships/theme" Target="/xl/theme/theme1.xml" Id="Rcc4a9a892e1f436c" /><Relationship Type="http://schemas.openxmlformats.org/officeDocument/2006/relationships/sharedStrings" Target="/xl/sharedStrings.xml" Id="Rf2f0c7e78f1d4b47" /><Relationship Type="http://schemas.openxmlformats.org/officeDocument/2006/relationships/worksheet" Target="/xl/worksheets/sheet1.xml" Id="Rd46473cd8cb14b3a" /><Relationship Type="http://schemas.openxmlformats.org/officeDocument/2006/relationships/worksheet" Target="/xl/worksheets/sheet2.xml" Id="R5518be5403d14023" /><Relationship Type="http://schemas.openxmlformats.org/officeDocument/2006/relationships/worksheet" Target="/xl/worksheets/sheet3.xml" Id="R7d8f027227a5492c" /></Relationships>
</file>

<file path=xl/tables/table1.xml><?xml version="1.0" encoding="utf-8"?>
<x:table xmlns:x="http://schemas.openxmlformats.org/spreadsheetml/2006/main" id="1" name="PurchaseTable" displayName="PurchaseTable" ref="A4:M22" headerRowCount="1" totalsRowCount="0" totalsRowShown="0">
  <x:tableColumns count="13">
    <x:tableColumn id="1" name="Позиция"/>
    <x:tableColumn id="2" name="RefDes"/>
    <x:tableColumn id="3" name="Номинал / модель"/>
    <x:tableColumn id="4" name="Корпус / исполнение"/>
    <x:tableColumn id="5" name="Кол-во на плату"/>
    <x:tableColumn id="6" name="Рекомендуемый запас"/>
    <x:tableColumn id="7" name="Итого к заказу"/>
    <x:tableColumn id="8" name="Магазин"/>
    <x:tableColumn id="9" name="Ссылка"/>
    <x:tableColumn id="10" name="Наличие"/>
    <x:tableColumn id="11" name="Цена, ₽/шт."/>
    <x:tableColumn id="12" name="Возможная замена"/>
    <x:tableColumn id="13" name="Комментар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oresTable" displayName="StoresTable" ref="A1:D6" headerRowCount="1" totalsRowCount="0" totalsRowShown="0">
  <x:tableColumns count="4">
    <x:tableColumn id="1" name="Магазин"/>
    <x:tableColumn id="2" name="Для чего подходит"/>
    <x:tableColumn id="3" name="Ограничения / доставка"/>
    <x:tableColumn id="4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8d01ba9dfc4b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96f7bcdfd146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4" hidden="0" customWidth="1"/>
    <x:col min="4" max="4" width="25" hidden="0" customWidth="1"/>
    <x:col min="5" max="5" width="14" hidden="0" customWidth="1"/>
    <x:col min="6" max="6" width="17" hidden="0" customWidth="1"/>
    <x:col min="7" max="7" width="14" hidden="0" customWidth="1"/>
    <x:col min="8" max="8" width="20" hidden="0" customWidth="1"/>
    <x:col min="9" max="9" width="34" hidden="0" customWidth="1"/>
    <x:col min="10" max="10" width="16" hidden="0" customWidth="1"/>
    <x:col min="11" max="11" width="14" hidden="0" customWidth="1"/>
    <x:col min="12" max="12" width="34" hidden="0" customWidth="1"/>
    <x:col min="13" max="13" width="55" hidden="0" customWidth="1"/>
  </x:cols>
  <x:sheetData>
    <x:row r="1" ht="30" customHeight="1">
      <x:c r="A1" s="3" t="str">
        <x:v>SmartLada Rev A — таблица закупки (1 плата)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Жёлтые столбцы заполняются при подборе в выбранном магазине. Ничего не заказано.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0" t="str">
        <x:v>Позиция</x:v>
      </x:c>
      <x:c r="B4" s="10" t="str">
        <x:v>RefDes</x:v>
      </x:c>
      <x:c r="C4" s="10" t="str">
        <x:v>Номинал / модель</x:v>
      </x:c>
      <x:c r="D4" s="10" t="str">
        <x:v>Корпус / исполнение</x:v>
      </x:c>
      <x:c r="E4" s="10" t="str">
        <x:v>Кол-во на плату</x:v>
      </x:c>
      <x:c r="F4" s="10" t="str">
        <x:v>Рекомендуемый запас</x:v>
      </x:c>
      <x:c r="G4" s="10" t="str">
        <x:v>Итого к заказу</x:v>
      </x:c>
      <x:c r="H4" s="10" t="str">
        <x:v>Магазин</x:v>
      </x:c>
      <x:c r="I4" s="10" t="str">
        <x:v>Ссылка</x:v>
      </x:c>
      <x:c r="J4" s="10" t="str">
        <x:v>Наличие</x:v>
      </x:c>
      <x:c r="K4" s="10" t="str">
        <x:v>Цена, ₽/шт.</x:v>
      </x:c>
      <x:c r="L4" s="10" t="str">
        <x:v>Возможная замена</x:v>
      </x:c>
      <x:c r="M4" s="10" t="str">
        <x:v>Комментарий</x:v>
      </x:c>
    </x:row>
    <x:row r="5" ht="15" hidden="0" customHeight="1">
      <x:c r="A5" s="14" t="n">
        <x:v>1</x:v>
      </x:c>
      <x:c r="B5" s="18" t="str">
        <x:v>J1</x:v>
      </x:c>
      <x:c r="C5" s="18" t="str">
        <x:v>Клеммник 2-конт., шаг 5,00 мм</x:v>
      </x:c>
      <x:c r="D5" s="18" t="str">
        <x:v>THT, 1x02 P5.00</x:v>
      </x:c>
      <x:c r="E5" s="15" t="n">
        <x:v>1</x:v>
      </x:c>
      <x:c r="F5" s="15" t="n">
        <x:v>1</x:v>
      </x:c>
      <x:c r="G5" s="15" t="n">
        <x:f>E5+F5</x:f>
        <x:v>2</x:v>
      </x:c>
      <x:c r="H5" s="16" t="str"/>
      <x:c r="I5" s="16" t="str"/>
      <x:c r="J5" s="16" t="str">
        <x:v>Не проверено</x:v>
      </x:c>
      <x:c r="K5" s="17"/>
      <x:c r="L5" s="18" t="str">
        <x:v>Совместимый 2-конт. P5.00</x:v>
      </x:c>
      <x:c r="M5" s="18" t="str">
        <x:v>Не покупать вариант 5,08 мм без проверки посадочного места.</x:v>
      </x:c>
    </x:row>
    <x:row r="6" ht="15" hidden="0" customHeight="1">
      <x:c r="A6" s="14" t="n">
        <x:v>2</x:v>
      </x:c>
      <x:c r="B6" s="18" t="str">
        <x:v>J2</x:v>
      </x:c>
      <x:c r="C6" s="18" t="str">
        <x:v>Клеммник 5-конт., шаг 5,00 мм</x:v>
      </x:c>
      <x:c r="D6" s="18" t="str">
        <x:v>THT, 1x05 P5.00</x:v>
      </x:c>
      <x:c r="E6" s="15" t="n">
        <x:v>1</x:v>
      </x:c>
      <x:c r="F6" s="15" t="n">
        <x:v>1</x:v>
      </x:c>
      <x:c r="G6" s="15" t="n">
        <x:f>E6+F6</x:f>
        <x:v>2</x:v>
      </x:c>
      <x:c r="H6" s="16" t="str"/>
      <x:c r="I6" s="16" t="str"/>
      <x:c r="J6" s="16" t="str">
        <x:v>Не проверено</x:v>
      </x:c>
      <x:c r="K6" s="17"/>
      <x:c r="L6" s="18" t="str">
        <x:v>Совместимый 5-конт. P5.00</x:v>
      </x:c>
      <x:c r="M6" s="18" t="str">
        <x:v>COM +12 V и четыре выхода ламп.</x:v>
      </x:c>
    </x:row>
    <x:row r="7" ht="15" hidden="0" customHeight="1">
      <x:c r="A7" s="14" t="n">
        <x:v>3</x:v>
      </x:c>
      <x:c r="B7" s="18" t="str">
        <x:v>J3</x:v>
      </x:c>
      <x:c r="C7" s="18" t="str">
        <x:v>Штыревой разъём 1x08, 2,54 мм</x:v>
      </x:c>
      <x:c r="D7" s="18" t="str">
        <x:v>THT, PinHeader 1x08</x:v>
      </x:c>
      <x:c r="E7" s="15" t="n">
        <x:v>1</x:v>
      </x:c>
      <x:c r="F7" s="15" t="n">
        <x:v>1</x:v>
      </x:c>
      <x:c r="G7" s="15" t="n">
        <x:f>E7+F7</x:f>
        <x:v>2</x:v>
      </x:c>
      <x:c r="H7" s="16" t="str"/>
      <x:c r="I7" s="16" t="str"/>
      <x:c r="J7" s="16" t="str">
        <x:v>Не проверено</x:v>
      </x:c>
      <x:c r="K7" s="17"/>
      <x:c r="L7" s="18" t="str">
        <x:v>Отламываемая гребёнка 2,54 мм</x:v>
      </x:c>
      <x:c r="M7" s="18" t="str">
        <x:v>Контакт 8 зарезервирован и не подключается.</x:v>
      </x:c>
    </x:row>
    <x:row r="8" ht="26.399999618530273" hidden="0" customHeight="1">
      <x:c r="A8" s="14" t="n">
        <x:v>4</x:v>
      </x:c>
      <x:c r="B8" s="18" t="str">
        <x:v>F1 (держатель)</x:v>
      </x:c>
      <x:c r="C8" s="18" t="str">
        <x:v>Держатель предохранителя 5x20 мм</x:v>
      </x:c>
      <x:c r="D8" s="18" t="str">
        <x:v>THT, горизонтальный, открытый</x:v>
      </x:c>
      <x:c r="E8" s="15" t="n">
        <x:v>1</x:v>
      </x:c>
      <x:c r="F8" s="15" t="n">
        <x:v>1</x:v>
      </x:c>
      <x:c r="G8" s="15" t="n">
        <x:f>E8+F8</x:f>
        <x:v>2</x:v>
      </x:c>
      <x:c r="H8" s="16" t="str"/>
      <x:c r="I8" s="16" t="str"/>
      <x:c r="J8" s="16" t="str">
        <x:v>Не проверено</x:v>
      </x:c>
      <x:c r="K8" s="17"/>
      <x:c r="L8" s="18" t="str">
        <x:v>Держатель 5x20 с совпадающим шагом выводов</x:v>
      </x:c>
      <x:c r="M8" s="18" t="str">
        <x:v>Посадочное место: Schurter 0031.8201; держатель и плавкая вставка закупаются отдельно.</x:v>
      </x:c>
    </x:row>
    <x:row r="9" ht="15" hidden="0" customHeight="1">
      <x:c r="A9" s="14" t="n">
        <x:v>5</x:v>
      </x:c>
      <x:c r="B9" s="18" t="str">
        <x:v>F1 (вставка)</x:v>
      </x:c>
      <x:c r="C9" s="18" t="str">
        <x:v>T4A, медленный, 5x20 мм</x:v>
      </x:c>
      <x:c r="D9" s="18" t="str">
        <x:v>Стекло/керамика 5x20 мм</x:v>
      </x:c>
      <x:c r="E9" s="15" t="n">
        <x:v>1</x:v>
      </x:c>
      <x:c r="F9" s="15" t="n">
        <x:v>2</x:v>
      </x:c>
      <x:c r="G9" s="15" t="n">
        <x:f>E9+F9</x:f>
        <x:v>3</x:v>
      </x:c>
      <x:c r="H9" s="16" t="str"/>
      <x:c r="I9" s="16" t="str"/>
      <x:c r="J9" s="16" t="str">
        <x:v>Не проверено</x:v>
      </x:c>
      <x:c r="K9" s="17"/>
      <x:c r="L9" s="18" t="str">
        <x:v>T4A 250 V slow-blow 5x20</x:v>
      </x:c>
      <x:c r="M9" s="18" t="str">
        <x:v>Тип T (медленный) обязателен из-за пускового тока ламп.</x:v>
      </x:c>
    </x:row>
    <x:row r="10" ht="26.399999618530273" hidden="0" customHeight="1">
      <x:c r="A10" s="14" t="n">
        <x:v>6</x:v>
      </x:c>
      <x:c r="B10" s="18" t="str">
        <x:v>Q5</x:v>
      </x:c>
      <x:c r="C10" s="18" t="str">
        <x:v>AOD4185, P‑канальный MOSFET</x:v>
      </x:c>
      <x:c r="D10" s="18" t="str">
        <x:v>TO-252 / DPAK</x:v>
      </x:c>
      <x:c r="E10" s="15" t="n">
        <x:v>1</x:v>
      </x:c>
      <x:c r="F10" s="15" t="n">
        <x:v>1</x:v>
      </x:c>
      <x:c r="G10" s="15" t="n">
        <x:f>E10+F10</x:f>
        <x:v>2</x:v>
      </x:c>
      <x:c r="H10" s="16" t="str"/>
      <x:c r="I10" s="16" t="str"/>
      <x:c r="J10" s="16" t="str">
        <x:v>Не проверено</x:v>
      </x:c>
      <x:c r="K10" s="17"/>
      <x:c r="L10" s="18" t="str">
        <x:v>P-MOSFET ≥40 V с проверкой распиновки и RDS(on)</x:v>
      </x:c>
      <x:c r="M10" s="18" t="str">
        <x:v>Защита от переполюсовки; замена требует проверки pinout/тепла.</x:v>
      </x:c>
    </x:row>
    <x:row r="11" ht="26.399999618530273" hidden="0" customHeight="1">
      <x:c r="A11" s="14" t="n">
        <x:v>7</x:v>
      </x:c>
      <x:c r="B11" s="18" t="str">
        <x:v>C1</x:v>
      </x:c>
      <x:c r="C11" s="18" t="str">
        <x:v>100 µF, 25 V, электролитический</x:v>
      </x:c>
      <x:c r="D11" s="18" t="str">
        <x:v>THT radial D6.3, P2.50</x:v>
      </x:c>
      <x:c r="E11" s="15" t="n">
        <x:v>1</x:v>
      </x:c>
      <x:c r="F11" s="15" t="n">
        <x:v>1</x:v>
      </x:c>
      <x:c r="G11" s="15" t="n">
        <x:f>E11+F11</x:f>
        <x:v>2</x:v>
      </x:c>
      <x:c r="H11" s="16" t="str"/>
      <x:c r="I11" s="16" t="str"/>
      <x:c r="J11" s="16" t="str">
        <x:v>Не проверено</x:v>
      </x:c>
      <x:c r="K11" s="17"/>
      <x:c r="L11" s="18" t="str">
        <x:v>100–220 µF, ≥25 V, подходящие габариты/ESR</x:v>
      </x:c>
      <x:c r="M11" s="18" t="str">
        <x:v>Напряжение 25 V задано в текстовой спецификации, но не в поле Value схемы.</x:v>
      </x:c>
    </x:row>
    <x:row r="12" ht="15" hidden="0" customHeight="1">
      <x:c r="A12" s="14" t="n">
        <x:v>8</x:v>
      </x:c>
      <x:c r="B12" s="18" t="str">
        <x:v>C2</x:v>
      </x:c>
      <x:c r="C12" s="18" t="str">
        <x:v>100 nF, 50 V, X7R или лучше</x:v>
      </x:c>
      <x:c r="D12" s="18" t="str">
        <x:v>0805 / 2012 metric</x:v>
      </x:c>
      <x:c r="E12" s="15" t="n">
        <x:v>1</x:v>
      </x:c>
      <x:c r="F12" s="15" t="n">
        <x:v>2</x:v>
      </x:c>
      <x:c r="G12" s="15" t="n">
        <x:f>E12+F12</x:f>
        <x:v>3</x:v>
      </x:c>
      <x:c r="H12" s="16" t="str"/>
      <x:c r="I12" s="16" t="str"/>
      <x:c r="J12" s="16" t="str">
        <x:v>Не проверено</x:v>
      </x:c>
      <x:c r="K12" s="17"/>
      <x:c r="L12" s="18" t="str">
        <x:v>100 nF ≥50 V X7R 0805</x:v>
      </x:c>
      <x:c r="M12" s="18" t="str">
        <x:v>Входной ВЧ байпас.</x:v>
      </x:c>
    </x:row>
    <x:row r="13" ht="26.399999618530273" hidden="0" customHeight="1">
      <x:c r="A13" s="14" t="n">
        <x:v>9</x:v>
      </x:c>
      <x:c r="B13" s="18" t="str">
        <x:v>U1</x:v>
      </x:c>
      <x:c r="C13" s="18" t="str">
        <x:v>TPS54202DDCR</x:v>
      </x:c>
      <x:c r="D13" s="18" t="str">
        <x:v>SOT-23-6 (DDC)</x:v>
      </x:c>
      <x:c r="E13" s="15" t="n">
        <x:v>1</x:v>
      </x:c>
      <x:c r="F13" s="15" t="n">
        <x:v>1</x:v>
      </x:c>
      <x:c r="G13" s="15" t="n">
        <x:f>E13+F13</x:f>
        <x:v>2</x:v>
      </x:c>
      <x:c r="H13" s="16" t="str"/>
      <x:c r="I13" s="16" t="str"/>
      <x:c r="J13" s="16" t="str">
        <x:v>Не проверено</x:v>
      </x:c>
      <x:c r="K13" s="17"/>
      <x:c r="L13" s="18" t="str">
        <x:v>Только совместимый по выводам buck 4.5–28 V / 2 A после перерасчёта обвязки</x:v>
      </x:c>
      <x:c r="M13" s="18" t="str">
        <x:v>В схеме Value TPS54202DDC; суффикс R означает поставку в ленте. Текстовый BOM ошибочно называет RefDes U2.</x:v>
      </x:c>
    </x:row>
    <x:row r="14" ht="26.399999618530273" hidden="0" customHeight="1">
      <x:c r="A14" s="14" t="n">
        <x:v>10</x:v>
      </x:c>
      <x:c r="B14" s="18" t="str">
        <x:v>L1</x:v>
      </x:c>
      <x:c r="C14" s="18" t="str">
        <x:v>CDRH6D28NP-100NC, 10 µH</x:v>
      </x:c>
      <x:c r="D14" s="18" t="str">
        <x:v>экранированный, около 6x6 мм</x:v>
      </x:c>
      <x:c r="E14" s="15" t="n">
        <x:v>1</x:v>
      </x:c>
      <x:c r="F14" s="15" t="n">
        <x:v>1</x:v>
      </x:c>
      <x:c r="G14" s="15" t="n">
        <x:f>E14+F14</x:f>
        <x:v>2</x:v>
      </x:c>
      <x:c r="H14" s="16" t="str"/>
      <x:c r="I14" s="16" t="str"/>
      <x:c r="J14" s="16" t="str">
        <x:v>Не проверено</x:v>
      </x:c>
      <x:c r="K14" s="17"/>
      <x:c r="L14" s="18" t="str">
        <x:v>10 µH, Isat ≥2.5 A, подходящий footprint и низкий DCR</x:v>
      </x:c>
      <x:c r="M14" s="18" t="str">
        <x:v>Нельзя заменять только по номиналу — проверить размеры, Isat и DCR.</x:v>
      </x:c>
    </x:row>
    <x:row r="15" ht="15" hidden="0" customHeight="1">
      <x:c r="A15" s="14" t="n">
        <x:v>11</x:v>
      </x:c>
      <x:c r="B15" s="18" t="str">
        <x:v>C3, C4</x:v>
      </x:c>
      <x:c r="C15" s="18" t="str">
        <x:v>UMK325BJ106KM-P, 10 µF 50 V X5R</x:v>
      </x:c>
      <x:c r="D15" s="18" t="str">
        <x:v>1210 / 3225 metric</x:v>
      </x:c>
      <x:c r="E15" s="15" t="n">
        <x:v>2</x:v>
      </x:c>
      <x:c r="F15" s="15" t="n">
        <x:v>2</x:v>
      </x:c>
      <x:c r="G15" s="15" t="n">
        <x:f>E15+F15</x:f>
        <x:v>4</x:v>
      </x:c>
      <x:c r="H15" s="16" t="str"/>
      <x:c r="I15" s="16" t="str"/>
      <x:c r="J15" s="16" t="str">
        <x:v>Не проверено</x:v>
      </x:c>
      <x:c r="K15" s="17"/>
      <x:c r="L15" s="18" t="str">
        <x:v>10 µF ≥50 V X5R/X7R 1210 с учётом DC bias</x:v>
      </x:c>
      <x:c r="M15" s="18" t="str">
        <x:v>Точный MPN взят из схемы; два входных конденсатора.</x:v>
      </x:c>
    </x:row>
    <x:row r="16" ht="26.399999618530273" hidden="0" customHeight="1">
      <x:c r="A16" s="14" t="n">
        <x:v>12</x:v>
      </x:c>
      <x:c r="B16" s="18" t="str">
        <x:v>C5</x:v>
      </x:c>
      <x:c r="C16" s="18" t="str">
        <x:v>100 nF, керамический</x:v>
      </x:c>
      <x:c r="D16" s="18" t="str">
        <x:v>0603 / 1608 metric</x:v>
      </x:c>
      <x:c r="E16" s="15" t="n">
        <x:v>1</x:v>
      </x:c>
      <x:c r="F16" s="15" t="n">
        <x:v>2</x:v>
      </x:c>
      <x:c r="G16" s="15" t="n">
        <x:f>E16+F16</x:f>
        <x:v>3</x:v>
      </x:c>
      <x:c r="H16" s="16" t="str"/>
      <x:c r="I16" s="16" t="str"/>
      <x:c r="J16" s="16" t="str">
        <x:v>Не проверено</x:v>
      </x:c>
      <x:c r="K16" s="17"/>
      <x:c r="L16" s="18" t="str">
        <x:v>100 nF ≥16 V X7R 0603</x:v>
      </x:c>
      <x:c r="M16" s="18" t="str">
        <x:v>Bootstrap. Напряжение в проекте явно не задано; ≥16 V — закупочная рекомендация, требует подтверждения разработчиком.</x:v>
      </x:c>
    </x:row>
    <x:row r="17" ht="26.399999618530273" hidden="0" customHeight="1">
      <x:c r="A17" s="14" t="n">
        <x:v>13</x:v>
      </x:c>
      <x:c r="B17" s="18" t="str">
        <x:v>C6, C7</x:v>
      </x:c>
      <x:c r="C17" s="18" t="str">
        <x:v>C2012X5R1C226M125AC, 22 µF 16 V X5R</x:v>
      </x:c>
      <x:c r="D17" s="18" t="str">
        <x:v>0805 / 2012 metric</x:v>
      </x:c>
      <x:c r="E17" s="15" t="n">
        <x:v>2</x:v>
      </x:c>
      <x:c r="F17" s="15" t="n">
        <x:v>2</x:v>
      </x:c>
      <x:c r="G17" s="15" t="n">
        <x:f>E17+F17</x:f>
        <x:v>4</x:v>
      </x:c>
      <x:c r="H17" s="16" t="str"/>
      <x:c r="I17" s="16" t="str"/>
      <x:c r="J17" s="16" t="str">
        <x:v>Не проверено</x:v>
      </x:c>
      <x:c r="K17" s="17"/>
      <x:c r="L17" s="18" t="str">
        <x:v>22 µF ≥16 V X5R/X7R 0805 с проверкой DC bias</x:v>
      </x:c>
      <x:c r="M17" s="18" t="str">
        <x:v>Точный MPN указан в поле Datasheet схемы.</x:v>
      </x:c>
    </x:row>
    <x:row r="18" ht="26.399999618530273" hidden="0" customHeight="1">
      <x:c r="A18" s="14" t="n">
        <x:v>14</x:v>
      </x:c>
      <x:c r="B18" s="18" t="str">
        <x:v>R1, R2, Rpd1…Rpd4</x:v>
      </x:c>
      <x:c r="C18" s="18" t="str">
        <x:v>100 kΩ, 1%</x:v>
      </x:c>
      <x:c r="D18" s="18" t="str">
        <x:v>0805 / 2012 metric</x:v>
      </x:c>
      <x:c r="E18" s="15" t="n">
        <x:v>6</x:v>
      </x:c>
      <x:c r="F18" s="15" t="n">
        <x:v>4</x:v>
      </x:c>
      <x:c r="G18" s="15" t="n">
        <x:f>E18+F18</x:f>
        <x:v>10</x:v>
      </x:c>
      <x:c r="H18" s="16" t="str"/>
      <x:c r="I18" s="16" t="str"/>
      <x:c r="J18" s="16" t="str">
        <x:v>Не проверено</x:v>
      </x:c>
      <x:c r="K18" s="17"/>
      <x:c r="L18" s="18" t="str">
        <x:v>100 kΩ 1% 0805</x:v>
      </x:c>
      <x:c r="M18" s="18" t="str">
        <x:v>R1 — затвор Q5; R2 — делитель FB; Rpd — критические подтяжки затворов.</x:v>
      </x:c>
    </x:row>
    <x:row r="19" ht="39.599998474121094" hidden="0" customHeight="1">
      <x:c r="A19" s="14" t="n">
        <x:v>15</x:v>
      </x:c>
      <x:c r="B19" s="18" t="str">
        <x:v>R3</x:v>
      </x:c>
      <x:c r="C19" s="18" t="str">
        <x:v>13.7 kΩ, 1%</x:v>
      </x:c>
      <x:c r="D19" s="18" t="str">
        <x:v>0805 / 2012 metric</x:v>
      </x:c>
      <x:c r="E19" s="15" t="n">
        <x:v>1</x:v>
      </x:c>
      <x:c r="F19" s="15" t="n">
        <x:v>2</x:v>
      </x:c>
      <x:c r="G19" s="15" t="n">
        <x:f>E19+F19</x:f>
        <x:v>3</x:v>
      </x:c>
      <x:c r="H19" s="16" t="str"/>
      <x:c r="I19" s="16" t="str"/>
      <x:c r="J19" s="16" t="str">
        <x:v>Не проверено</x:v>
      </x:c>
      <x:c r="K19" s="17"/>
      <x:c r="L19" s="18" t="str">
        <x:v>Ближайшее точное значение 1%; изменение требует проверки выходного напряжения</x:v>
      </x:c>
      <x:c r="M19" s="18" t="str">
        <x:v>Нижнее плечо FB; выход нужно проверить на первой плате.</x:v>
      </x:c>
    </x:row>
    <x:row r="20" ht="26.399999618530273" hidden="0" customHeight="1">
      <x:c r="A20" s="14" t="n">
        <x:v>16</x:v>
      </x:c>
      <x:c r="B20" s="18" t="str">
        <x:v>D1</x:v>
      </x:c>
      <x:c r="C20" s="18" t="str">
        <x:v>SS14, диод Шоттки 1 A 40 V</x:v>
      </x:c>
      <x:c r="D20" s="18" t="str">
        <x:v>SMA / DO-214AC</x:v>
      </x:c>
      <x:c r="E20" s="15" t="n">
        <x:v>1</x:v>
      </x:c>
      <x:c r="F20" s="15" t="n">
        <x:v>1</x:v>
      </x:c>
      <x:c r="G20" s="15" t="n">
        <x:f>E20+F20</x:f>
        <x:v>2</x:v>
      </x:c>
      <x:c r="H20" s="16" t="str"/>
      <x:c r="I20" s="16" t="str"/>
      <x:c r="J20" s="16" t="str">
        <x:v>Не проверено</x:v>
      </x:c>
      <x:c r="K20" s="17"/>
      <x:c r="L20" s="18" t="str">
        <x:v>Шоттки ≥1 A ≥40 V в SMA с совпадающей полярностью</x:v>
      </x:c>
      <x:c r="M20" s="18" t="str">
        <x:v>Развязка питания devboard от USB VBUS.</x:v>
      </x:c>
    </x:row>
    <x:row r="21" ht="26.399999618530273" hidden="0" customHeight="1">
      <x:c r="A21" s="14" t="n">
        <x:v>17</x:v>
      </x:c>
      <x:c r="B21" s="18" t="str">
        <x:v>Q1…Q4</x:v>
      </x:c>
      <x:c r="C21" s="18" t="str">
        <x:v>AOD4184A, N‑канальный MOSFET</x:v>
      </x:c>
      <x:c r="D21" s="18" t="str">
        <x:v>TO-252 / DPAK</x:v>
      </x:c>
      <x:c r="E21" s="15" t="n">
        <x:v>4</x:v>
      </x:c>
      <x:c r="F21" s="15" t="n">
        <x:v>2</x:v>
      </x:c>
      <x:c r="G21" s="15" t="n">
        <x:f>E21+F21</x:f>
        <x:v>6</x:v>
      </x:c>
      <x:c r="H21" s="16" t="str"/>
      <x:c r="I21" s="16" t="str"/>
      <x:c r="J21" s="16" t="str">
        <x:v>Не проверено</x:v>
      </x:c>
      <x:c r="K21" s="17"/>
      <x:c r="L21" s="18" t="str">
        <x:v>Logic-level N-MOSFET ≥40 V с RDS(on), заданным при 2.5–3.3 V, и тем же pinout</x:v>
      </x:c>
      <x:c r="M21" s="18" t="str">
        <x:v>Не считать любой «D4184» эквивалентом; важны оригинальность, VGS и распиновка.</x:v>
      </x:c>
    </x:row>
    <x:row r="22" ht="15" hidden="0" customHeight="1">
      <x:c r="A22" s="14" t="n">
        <x:v>18</x:v>
      </x:c>
      <x:c r="B22" s="18" t="str">
        <x:v>Rg1…Rg4</x:v>
      </x:c>
      <x:c r="C22" s="18" t="str">
        <x:v>100 Ω, 1%</x:v>
      </x:c>
      <x:c r="D22" s="18" t="str">
        <x:v>0805 / 2012 metric</x:v>
      </x:c>
      <x:c r="E22" s="15" t="n">
        <x:v>4</x:v>
      </x:c>
      <x:c r="F22" s="15" t="n">
        <x:v>4</x:v>
      </x:c>
      <x:c r="G22" s="15" t="n">
        <x:f>E22+F22</x:f>
        <x:v>8</x:v>
      </x:c>
      <x:c r="H22" s="16" t="str"/>
      <x:c r="I22" s="16" t="str"/>
      <x:c r="J22" s="16" t="str">
        <x:v>Не проверено</x:v>
      </x:c>
      <x:c r="K22" s="17"/>
      <x:c r="L22" s="18" t="str">
        <x:v>100 Ω 1–5% 0805</x:v>
      </x:c>
      <x:c r="M22" s="18" t="str">
        <x:v>Последовательные резисторы затворов.</x:v>
      </x:c>
    </x:row>
  </x:sheetData>
  <x:mergeCells>
    <x:mergeCell ref="A1:M1"/>
    <x:mergeCell ref="A2:M2"/>
  </x:mergeCells>
  <x:dataValidations count="2">
    <x:dataValidation type="list" sqref="H5:H22">
      <x:formula1>"Промэлектроника,Платан,ЧИП и ДИП,E-Components,Компэл"</x:formula1>
    </x:dataValidation>
    <x:dataValidation type="list" sqref="J5:J22">
      <x:formula1>"Не проверено,В наличии,Под заказ,Нет,Замена найдена"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8d01ba9dfc4b4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15" hidden="0" customHeight="1">
      <x:c r="A1" s="21" t="str">
        <x:v>Проверено</x:v>
      </x:c>
      <x:c r="B1" s="21" t="str">
        <x:v>Результат</x:v>
      </x:c>
    </x:row>
    <x:row r="2" ht="15" hidden="0" customHeight="1">
      <x:c r="A2" s="22" t="str">
        <x:v>Актуальный источник</x:v>
      </x:c>
      <x:c r="B2" s="23" t="str">
        <x:v>Текущие smartlada_revA.kicad_sch и smartlada_revA.kicad_pcb; .history исключена как архив.</x:v>
      </x:c>
    </x:row>
    <x:row r="3" ht="15" hidden="0" customHeight="1">
      <x:c r="A3" s="22" t="str">
        <x:v>Схема ↔ плата</x:v>
      </x:c>
      <x:c r="B3" s="23" t="str">
        <x:v>Все 30 электрических RefDes из схемы присутствуют на плате; дополнительно 4 монтажных отверстия H1…H4.</x:v>
      </x:c>
    </x:row>
    <x:row r="4" ht="26.399999618530273" hidden="0" customHeight="1">
      <x:c r="A4" s="22" t="str">
        <x:v>ERC / DRC</x:v>
      </x:c>
      <x:c r="B4" s="23" t="str">
        <x:v>ERC: 0 ошибок, 0 предупреждений. DRC: 0 нарушений, 0 неподключённых площадок, 0 ошибок footprint (отчёты 2026-07-19/20).</x:v>
      </x:c>
    </x:row>
    <x:row r="5" ht="26.399999618530273" hidden="0" customHeight="1">
      <x:c r="A5" s="22" t="str">
        <x:v>Дубликаты</x:v>
      </x:c>
      <x:c r="B5" s="23" t="str">
        <x:v>Непреднамеренных дублей RefDes не найдено. Одинаковые закупочные позиции объединены только при совпадении номинала и корпуса.</x:v>
      </x:c>
    </x:row>
    <x:row r="6" ht="15" hidden="0" customHeight="1">
      <x:c r="A6" s="22" t="str">
        <x:v>Расхождение U1/U2</x:v>
      </x:c>
      <x:c r="B6" s="23" t="str">
        <x:v>На текущей схеме и плате buck — U1 TPS54202DDC; текстовая спецификация ошибочно пишет U2/TPS54202DDCR.</x:v>
      </x:c>
    </x:row>
    <x:row r="7" ht="15" hidden="0" customHeight="1">
      <x:c r="A7" s="22" t="str">
        <x:v>Расхождение шага</x:v>
      </x:c>
      <x:c r="B7" s="23" t="str">
        <x:v>Footprint J1/J2 — P5.00 мм; текстовая спецификация пишет 5.08 мм. Для заказа использовать 5.00 мм.</x:v>
      </x:c>
    </x:row>
    <x:row r="8" ht="15" hidden="0" customHeight="1">
      <x:c r="A8" s="22" t="str">
        <x:v>Расхождение количества</x:v>
      </x:c>
      <x:c r="B8" s="23" t="str">
        <x:v>Фактически 30 электрических установок, не ~28. H1…H4 — отверстия без электронных деталей.</x:v>
      </x:c>
    </x:row>
    <x:row r="9" ht="15" hidden="0" customHeight="1">
      <x:c r="A9" s="22" t="str">
        <x:v>F1</x:v>
      </x:c>
      <x:c r="B9" s="23" t="str">
        <x:v>Проект показывает держатель 5x20, а для работы отдельно нужна плавкая вставка T4A. В закупке они разделены.</x:v>
      </x:c>
    </x:row>
    <x:row r="10" ht="26.399999618530273" hidden="0" customHeight="1">
      <x:c r="A10" s="22" t="str">
        <x:v>Неопределённость C5</x:v>
      </x:c>
      <x:c r="B10" s="23" t="str">
        <x:v>Для C5 в проекте не указано рабочее напряжение. В таблице предложено ≥16 V как осторожная рекомендация, не как подтверждённое исходное требование.</x:v>
      </x:c>
    </x:row>
    <x:row r="11" ht="26.399999618530273" hidden="0" customHeight="1">
      <x:c r="A11" s="22" t="str">
        <x:v>Монтаж M3</x:v>
      </x:c>
      <x:c r="B11" s="23" t="str">
        <x:v>H1…H4 — четыре отверстия 3.2 мм. Стойки, винты и гайки в электрический BOM не включены; при необходимости добавить отдельным механическим комплектом.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65" hidden="0" customWidth="1"/>
    <x:col min="4" max="4" width="34" hidden="0" customWidth="1"/>
  </x:cols>
  <x:sheetData>
    <x:row r="1" ht="15" hidden="0" customHeight="1">
      <x:c r="A1" s="21" t="str">
        <x:v>Магазин</x:v>
      </x:c>
      <x:c r="B1" s="21" t="str">
        <x:v>Для чего подходит</x:v>
      </x:c>
      <x:c r="C1" s="21" t="str">
        <x:v>Ограничения / доставка</x:v>
      </x:c>
      <x:c r="D1" s="21" t="str">
        <x:v>URL</x:v>
      </x:c>
    </x:row>
    <x:row r="2" ht="26.399999618530273" hidden="0" customHeight="1">
      <x:c r="A2" s="23" t="str">
        <x:v>Промэлектроника</x:v>
      </x:c>
      <x:c r="B2" s="23" t="str">
        <x:v>Хороший первый кандидат: широкий каталог, розница и опт, точные MPN.</x:v>
      </x:c>
      <x:c r="C2" s="23" t="str">
        <x:v>Заявляет доставку во все регионы РФ; часть позиций может быть под заказ.</x:v>
      </x:c>
      <x:c r="D2" s="23" t="str">
        <x:v>https://www.promelec.ru/</x:v>
      </x:c>
    </x:row>
    <x:row r="3" ht="26.399999618530273" hidden="0" customHeight="1">
      <x:c r="A3" s="23" t="str">
        <x:v>Платан</x:v>
      </x:c>
      <x:c r="B3" s="23" t="str">
        <x:v>Компоненты и электромеханика; удобен для добора клеммников, держателей, пассивов.</x:v>
      </x:c>
      <x:c r="C3" s="23" t="str">
        <x:v>Доставка только по РФ; складские и заказные сроки показываются отдельно.</x:v>
      </x:c>
      <x:c r="D3" s="23" t="str">
        <x:v>https://www.platan.ru/</x:v>
      </x:c>
    </x:row>
    <x:row r="4" ht="26.399999618530273" hidden="0" customHeight="1">
      <x:c r="A4" s="23" t="str">
        <x:v>ЧИП и ДИП</x:v>
      </x:c>
      <x:c r="B4" s="23" t="str">
        <x:v>Розничная закупка малыми количествами, пассивы и электромеханика.</x:v>
      </x:c>
      <x:c r="C4" s="23" t="str">
        <x:v>Наличие и итоговую доставку нужно проверить по адресу получателя перед выбором.</x:v>
      </x:c>
      <x:c r="D4" s="23" t="str">
        <x:v>https://www.chipdip.ru/</x:v>
      </x:c>
    </x:row>
    <x:row r="5" ht="26.399999618530273" hidden="0" customHeight="1">
      <x:c r="A5" s="23" t="str">
        <x:v>E-Components</x:v>
      </x:c>
      <x:c r="B5" s="23" t="str">
        <x:v>Альтернатива для российских поставок и точных компонентов.</x:v>
      </x:c>
      <x:c r="C5" s="23" t="str">
        <x:v>Курьерская доставка по России заявлена от двух рабочих дней; проверять склад и MOQ.</x:v>
      </x:c>
      <x:c r="D5" s="23" t="str">
        <x:v>https://www.e-components.ru/</x:v>
      </x:c>
    </x:row>
    <x:row r="6" ht="26.399999618530273" hidden="0" customHeight="1">
      <x:c r="A6" s="23" t="str">
        <x:v>Компэл</x:v>
      </x:c>
      <x:c r="B6" s="23" t="str">
        <x:v>Сильный дистрибьютор для оригинальных компонентов и точных MPN.</x:v>
      </x:c>
      <x:c r="C6" s="23" t="str">
        <x:v>Только юридические лица и безналичный расчёт; DPD в регионы РФ заявлено 1–3 дня.</x:v>
      </x:c>
      <x:c r="D6" s="23" t="str">
        <x:v>https://www.compel.ru/</x:v>
      </x:c>
    </x:row>
  </x:sheetData>
  <x:pageMargins left="0.7" right="0.7" top="0.75" bottom="0.75" header="0.3" footer="0.3"/>
  <x:tableParts count="1">
    <x:tablePart xmlns:r="http://schemas.openxmlformats.org/officeDocument/2006/relationships" r:id="R0e96f7bcdfd146bd"/>
  </x:tableParts>
</x:worksheet>
</file>