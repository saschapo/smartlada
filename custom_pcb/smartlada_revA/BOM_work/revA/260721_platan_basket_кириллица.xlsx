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af7e34090640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орзина Платан" sheetId="1" r:id="Rae8d69eddf5b4956"/>
    <x:sheet xmlns:r="http://schemas.openxmlformats.org/officeDocument/2006/relationships" name="Проверка корзины" sheetId="2" r:id="Rd6f42243bb0849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2F6B8A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/>
    <x:xf numFmtId="201" fontId="0" fillId="3" borderId="0" xfId="0" applyNumberFormat="1" applyFont="1" applyFill="1" applyBorder="1"/>
    <x:xf numFmtId="201" fontId="4" fillId="3" borderId="0" xfId="0" applyNumberFormat="1" applyFont="1" applyFill="1" applyBorder="1"/>
    <x:xf numFmtId="0" fontId="3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e6b1757aa34a7d" /><Relationship Type="http://schemas.openxmlformats.org/officeDocument/2006/relationships/theme" Target="/xl/theme/theme1.xml" Id="Rc4e96dbc50414575" /><Relationship Type="http://schemas.openxmlformats.org/officeDocument/2006/relationships/sharedStrings" Target="/xl/sharedStrings.xml" Id="R377063bcc6114628" /><Relationship Type="http://schemas.openxmlformats.org/officeDocument/2006/relationships/worksheet" Target="/xl/worksheets/sheet1.xml" Id="Rae8d69eddf5b4956" /><Relationship Type="http://schemas.openxmlformats.org/officeDocument/2006/relationships/worksheet" Target="/xl/worksheets/sheet2.xml" Id="Rd6f42243bb0849e0" /></Relationships>
</file>

<file path=xl/tables/table1.xml><?xml version="1.0" encoding="utf-8"?>
<x:table xmlns:x="http://schemas.openxmlformats.org/spreadsheetml/2006/main" id="1" name="PlatanBasket" displayName="PlatanBasket" ref="A4:F22" headerRowCount="1" totalsRowCount="0" totalsRowShown="0">
  <x:tableColumns count="6">
    <x:tableColumn id="1" name="№"/>
    <x:tableColumn id="2" name="Артикул Platan"/>
    <x:tableColumn id="3" name="Наименование"/>
    <x:tableColumn id="4" name="Количество"/>
    <x:tableColumn id="5" name="Цена, ₽/шт."/>
    <x:tableColumn id="6" name="Сумма, ₽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sketCheck" displayName="BasketCheck" ref="A1:E13" headerRowCount="1" totalsRowCount="0" totalsRowShown="0">
  <x:tableColumns count="5">
    <x:tableColumn id="1" name="Статус"/>
    <x:tableColumn id="2" name="RefDes / позиция"/>
    <x:tableColumn id="3" name="Что в корзине"/>
    <x:tableColumn id="4" name="Требование Rev A"/>
    <x:tableColumn id="5" name="Действ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f9e8cd5a7744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35e167d6c44d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82" hidden="0" customWidth="1"/>
    <x:col min="4" max="4" width="13" hidden="0" customWidth="1"/>
    <x:col min="5" max="5" width="16" hidden="0" customWidth="1"/>
    <x:col min="6" max="6" width="16" hidden="0" customWidth="1"/>
  </x:cols>
  <x:sheetData>
    <x:row r="1" ht="19.200000762939453" hidden="0" customHeight="1">
      <x:c r="A1" s="2" t="str">
        <x:v>Корзина Platan.ru — восстановленная кириллица</x:v>
      </x:c>
      <x:c r="B1" s="2"/>
      <x:c r="C1" s="2"/>
      <x:c r="D1" s="2"/>
      <x:c r="E1" s="2"/>
      <x:c r="F1" s="2"/>
    </x:row>
    <x:row r="2" ht="15" hidden="0" customHeight="1">
      <x:c r="A2" s="5" t="str">
        <x:v>Источник: 260721_platan_basket.xls; исходный файл является TSV в кодировке Windows-1251, а не бинарным XLS.</x:v>
      </x:c>
      <x:c r="B2" s="5"/>
      <x:c r="C2" s="5"/>
      <x:c r="D2" s="5"/>
      <x:c r="E2" s="5"/>
      <x:c r="F2" s="5"/>
    </x:row>
    <x:row r="3"/>
    <x:row r="4" ht="15" hidden="0" customHeight="1">
      <x:c r="A4" s="8" t="str">
        <x:v>№</x:v>
      </x:c>
      <x:c r="B4" s="8" t="str">
        <x:v>Артикул Platan</x:v>
      </x:c>
      <x:c r="C4" s="8" t="str">
        <x:v>Наименование</x:v>
      </x:c>
      <x:c r="D4" s="8" t="str">
        <x:v>Количество</x:v>
      </x:c>
      <x:c r="E4" s="8" t="str">
        <x:v>Цена, ₽/шт.</x:v>
      </x:c>
      <x:c r="F4" s="8" t="str">
        <x:v>Сумма, ₽</x:v>
      </x:c>
    </x:row>
    <x:row r="5" ht="15" hidden="0" customHeight="1">
      <x:c r="A5" s="9" t="n">
        <x:v>1</x:v>
      </x:c>
      <x:c r="B5" s="9" t="str">
        <x:v>2010030452</x:v>
      </x:c>
      <x:c r="C5" s="10" t="str">
        <x:v>AOD4184A, Транзистор полевой MOSFET N-канальный 40В 50А 25Вт</x:v>
      </x:c>
      <x:c r="D5" s="11" t="n">
        <x:v>16</x:v>
      </x:c>
      <x:c r="E5" s="12" t="n">
        <x:v>28.94</x:v>
      </x:c>
      <x:c r="F5" s="12" t="n">
        <x:f>D5*E5</x:f>
        <x:v>463.04</x:v>
      </x:c>
    </x:row>
    <x:row r="6" ht="15" hidden="0" customHeight="1">
      <x:c r="A6" s="9" t="n">
        <x:v>2</x:v>
      </x:c>
      <x:c r="B6" s="9" t="str">
        <x:v>2017289798</x:v>
      </x:c>
      <x:c r="C6" s="10" t="str">
        <x:v>AOD4185, Транзисторы и сборки MOSFET, корпус TO252</x:v>
      </x:c>
      <x:c r="D6" s="11" t="n">
        <x:v>3</x:v>
      </x:c>
      <x:c r="E6" s="12" t="n">
        <x:v>21</x:v>
      </x:c>
      <x:c r="F6" s="12" t="n">
        <x:f>D6*E6</x:f>
        <x:v>63</x:v>
      </x:c>
    </x:row>
    <x:row r="7" ht="15" hidden="0" customHeight="1">
      <x:c r="A7" s="9" t="n">
        <x:v>3</x:v>
      </x:c>
      <x:c r="B7" s="9" t="str">
        <x:v>2017222701</x:v>
      </x:c>
      <x:c r="C7" s="10" t="str">
        <x:v>S1052-1 [5x20 4a 250v], Держатели предохранителей</x:v>
      </x:c>
      <x:c r="D7" s="11" t="n">
        <x:v>3</x:v>
      </x:c>
      <x:c r="E7" s="12" t="n">
        <x:v>7</x:v>
      </x:c>
      <x:c r="F7" s="12" t="n">
        <x:f>D7*E7</x:f>
        <x:v>21</x:v>
      </x:c>
    </x:row>
    <x:row r="8" ht="15" hidden="0" customHeight="1">
      <x:c r="A8" s="9" t="n">
        <x:v>4</x:v>
      </x:c>
      <x:c r="B8" s="9" t="str">
        <x:v>2011307362</x:v>
      </x:c>
      <x:c r="C8" s="10" t="str">
        <x:v>Кер. чип. конд. 0603 X7R 100нФ 100В   10%, GRM188R72A104KA35D, Конденсатор керамический smd</x:v>
      </x:c>
      <x:c r="D8" s="11" t="n">
        <x:v>5</x:v>
      </x:c>
      <x:c r="E8" s="12" t="n">
        <x:v>9</x:v>
      </x:c>
      <x:c r="F8" s="12" t="n">
        <x:f>D8*E8</x:f>
        <x:v>45</x:v>
      </x:c>
    </x:row>
    <x:row r="9" ht="15" hidden="0" customHeight="1">
      <x:c r="A9" s="9" t="n">
        <x:v>5</x:v>
      </x:c>
      <x:c r="B9" s="9" t="str">
        <x:v>2014826976</x:v>
      </x:c>
      <x:c r="C9" s="10" t="str">
        <x:v>Кер.чип.конд. 0805 X7R 100нФ 25В   10%, GRM21BR71E104KA01L, Конденсатор керамический smd</x:v>
      </x:c>
      <x:c r="D9" s="11" t="n">
        <x:v>5</x:v>
      </x:c>
      <x:c r="E9" s="12" t="n">
        <x:v>23</x:v>
      </x:c>
      <x:c r="F9" s="12" t="n">
        <x:f>D9*E9</x:f>
        <x:v>115</x:v>
      </x:c>
    </x:row>
    <x:row r="10" ht="15" hidden="0" customHeight="1">
      <x:c r="A10" s="9" t="n">
        <x:v>6</x:v>
      </x:c>
      <x:c r="B10" s="9" t="str">
        <x:v>2015696924</x:v>
      </x:c>
      <x:c r="C10" s="10" t="str">
        <x:v>HLC1210X7R106K500N, Чип конденсатор 1210 X7R 10мкФ 50В 10%</x:v>
      </x:c>
      <x:c r="D10" s="11" t="n">
        <x:v>10</x:v>
      </x:c>
      <x:c r="E10" s="12" t="n">
        <x:v>9</x:v>
      </x:c>
      <x:c r="F10" s="12" t="n">
        <x:f>D10*E10</x:f>
        <x:v>90</x:v>
      </x:c>
    </x:row>
    <x:row r="11" ht="15" hidden="0" customHeight="1">
      <x:c r="A11" s="9" t="n">
        <x:v>7</x:v>
      </x:c>
      <x:c r="B11" s="9" t="str">
        <x:v>2015901729</x:v>
      </x:c>
      <x:c r="C11" s="10" t="str">
        <x:v>GRT21BR61E226ME13L, Конденсаторы керамические</x:v>
      </x:c>
      <x:c r="D11" s="11" t="n">
        <x:v>8</x:v>
      </x:c>
      <x:c r="E11" s="12" t="n">
        <x:v>5</x:v>
      </x:c>
      <x:c r="F11" s="12" t="n">
        <x:f>D11*E11</x:f>
        <x:v>40</x:v>
      </x:c>
    </x:row>
    <x:row r="12" ht="15" hidden="0" customHeight="1">
      <x:c r="A12" s="9" t="n">
        <x:v>8</x:v>
      </x:c>
      <x:c r="B12" s="9" t="str">
        <x:v>2014982023</x:v>
      </x:c>
      <x:c r="C12" s="10" t="str">
        <x:v>EEUFR1E101, Конденсаторы алюминиевые</x:v>
      </x:c>
      <x:c r="D12" s="11" t="n">
        <x:v>6</x:v>
      </x:c>
      <x:c r="E12" s="12" t="n">
        <x:v>15</x:v>
      </x:c>
      <x:c r="F12" s="12" t="n">
        <x:f>D12*E12</x:f>
        <x:v>90</x:v>
      </x:c>
    </x:row>
    <x:row r="13" ht="15" hidden="0" customHeight="1">
      <x:c r="A13" s="9" t="n">
        <x:v>9</x:v>
      </x:c>
      <x:c r="B13" s="9" t="str">
        <x:v>2014969443</x:v>
      </x:c>
      <x:c r="C13" s="10" t="str">
        <x:v>RC0805FR-0713K7L, Резисторы постоянные, корпус SMD080520X125MM</x:v>
      </x:c>
      <x:c r="D13" s="11" t="n">
        <x:v>6</x:v>
      </x:c>
      <x:c r="E13" s="12" t="n">
        <x:v>1</x:v>
      </x:c>
      <x:c r="F13" s="12" t="n">
        <x:f>D13*E13</x:f>
        <x:v>6</x:v>
      </x:c>
    </x:row>
    <x:row r="14" ht="15" hidden="0" customHeight="1">
      <x:c r="A14" s="9" t="n">
        <x:v>10</x:v>
      </x:c>
      <x:c r="B14" s="9" t="str">
        <x:v>2014970291</x:v>
      </x:c>
      <x:c r="C14" s="10" t="str">
        <x:v>RT0805BRD07100RL, Резисторы постоянные, корпус SMD080520X125MM</x:v>
      </x:c>
      <x:c r="D14" s="11" t="n">
        <x:v>16</x:v>
      </x:c>
      <x:c r="E14" s="12" t="n">
        <x:v>9</x:v>
      </x:c>
      <x:c r="F14" s="12" t="n">
        <x:f>D14*E14</x:f>
        <x:v>144</x:v>
      </x:c>
    </x:row>
    <x:row r="15" ht="15" hidden="0" customHeight="1">
      <x:c r="A15" s="9" t="n">
        <x:v>11</x:v>
      </x:c>
      <x:c r="B15" s="9" t="str">
        <x:v>2015140622</x:v>
      </x:c>
      <x:c r="C15" s="10" t="str">
        <x:v>ERJP06F1003V, Резисторы постоянные, корпус SMD080520X125MM</x:v>
      </x:c>
      <x:c r="D15" s="11" t="n">
        <x:v>20</x:v>
      </x:c>
      <x:c r="E15" s="12" t="n">
        <x:v>2</x:v>
      </x:c>
      <x:c r="F15" s="12" t="n">
        <x:f>D15*E15</x:f>
        <x:v>40</x:v>
      </x:c>
    </x:row>
    <x:row r="16" ht="15" hidden="0" customHeight="1">
      <x:c r="A16" s="9" t="n">
        <x:v>12</x:v>
      </x:c>
      <x:c r="B16" s="9" t="str">
        <x:v>2014962957</x:v>
      </x:c>
      <x:c r="C16" s="10" t="str">
        <x:v>CDRH6D28NP-100NC, Дроссели</x:v>
      </x:c>
      <x:c r="D16" s="11" t="n">
        <x:v>3</x:v>
      </x:c>
      <x:c r="E16" s="12" t="n">
        <x:v>30</x:v>
      </x:c>
      <x:c r="F16" s="12" t="n">
        <x:f>D16*E16</x:f>
        <x:v>90</x:v>
      </x:c>
    </x:row>
    <x:row r="17" ht="15" hidden="0" customHeight="1">
      <x:c r="A17" s="9" t="n">
        <x:v>13</x:v>
      </x:c>
      <x:c r="B17" s="9" t="str">
        <x:v>2010078335</x:v>
      </x:c>
      <x:c r="C17" s="10" t="str">
        <x:v>SS14-E3/61T, Диод Шоттки 1A 40В [SMA / DO-214AC]</x:v>
      </x:c>
      <x:c r="D17" s="11" t="n">
        <x:v>20</x:v>
      </x:c>
      <x:c r="E17" s="12" t="n">
        <x:v>14.9</x:v>
      </x:c>
      <x:c r="F17" s="12" t="n">
        <x:f>D17*E17</x:f>
        <x:v>298</x:v>
      </x:c>
    </x:row>
    <x:row r="18" ht="15" hidden="0" customHeight="1">
      <x:c r="A18" s="9" t="n">
        <x:v>14</x:v>
      </x:c>
      <x:c r="B18" s="9" t="str">
        <x:v>2017285955</x:v>
      </x:c>
      <x:c r="C18" s="10" t="str">
        <x:v>FS-52GT-4.0/250, Предохранитель 5х20мм, стеклянный, с задержкой, 4А/250В (GSL)</x:v>
      </x:c>
      <x:c r="D18" s="11" t="n">
        <x:v>3</x:v>
      </x:c>
      <x:c r="E18" s="12" t="n">
        <x:v>19.4</x:v>
      </x:c>
      <x:c r="F18" s="12" t="n">
        <x:f>D18*E18</x:f>
        <x:v>58.199999999999996</x:v>
      </x:c>
    </x:row>
    <x:row r="19" ht="15" hidden="0" customHeight="1">
      <x:c r="A19" s="9" t="n">
        <x:v>15</x:v>
      </x:c>
      <x:c r="B19" s="9" t="str">
        <x:v>613861066</x:v>
      </x:c>
      <x:c r="C19" s="10" t="str">
        <x:v>PLS-40, вилка штыревая 2.54мм 1x40 прям. (L-KLS1-207-1-40-S)</x:v>
      </x:c>
      <x:c r="D19" s="11" t="n">
        <x:v>10</x:v>
      </x:c>
      <x:c r="E19" s="12" t="n">
        <x:v>17</x:v>
      </x:c>
      <x:c r="F19" s="12" t="n">
        <x:f>D19*E19</x:f>
        <x:v>170</x:v>
      </x:c>
    </x:row>
    <x:row r="20" ht="15" hidden="0" customHeight="1">
      <x:c r="A20" s="9" t="n">
        <x:v>16</x:v>
      </x:c>
      <x:c r="B20" s="9" t="str">
        <x:v>2015650096</x:v>
      </x:c>
      <x:c r="C20" s="10" t="str">
        <x:v>TPS54202DDCR, DC/DC преобразователь, Buck, ADJ, 2А [TSOT-23-6]</x:v>
      </x:c>
      <x:c r="D20" s="11" t="n">
        <x:v>3</x:v>
      </x:c>
      <x:c r="E20" s="12" t="n">
        <x:v>35</x:v>
      </x:c>
      <x:c r="F20" s="12" t="n">
        <x:f>D20*E20</x:f>
        <x:v>105</x:v>
      </x:c>
    </x:row>
    <x:row r="21" ht="15" hidden="0" customHeight="1">
      <x:c r="A21" s="9" t="n">
        <x:v>17</x:v>
      </x:c>
      <x:c r="B21" s="9" t="str">
        <x:v>2015932556</x:v>
      </x:c>
      <x:c r="C21" s="10" t="str">
        <x:v>DG127-5.0-02P-14-00Z(H), клеммник на плату винтовой шаг 5.0мм 2 конт.</x:v>
      </x:c>
      <x:c r="D21" s="11" t="n">
        <x:v>3</x:v>
      </x:c>
      <x:c r="E21" s="12" t="n">
        <x:v>19</x:v>
      </x:c>
      <x:c r="F21" s="12" t="n">
        <x:f>D21*E21</x:f>
        <x:v>57</x:v>
      </x:c>
    </x:row>
    <x:row r="22" ht="15" hidden="0" customHeight="1">
      <x:c r="A22" s="9" t="n">
        <x:v>18</x:v>
      </x:c>
      <x:c r="B22" s="9" t="str">
        <x:v>2017108400</x:v>
      </x:c>
      <x:c r="C22" s="10" t="str">
        <x:v>DG308-2.54-05P-14-00ZH, Колодки клеммные на плату</x:v>
      </x:c>
      <x:c r="D22" s="11" t="n">
        <x:v>3</x:v>
      </x:c>
      <x:c r="E22" s="12" t="n">
        <x:v>14</x:v>
      </x:c>
      <x:c r="F22" s="12" t="n">
        <x:f>D22*E22</x:f>
        <x:v>42</x:v>
      </x:c>
    </x:row>
    <x:row r="23" ht="15" hidden="0" customHeight="1">
      <x:c r="E23" s="15" t="str">
        <x:v>Итого:</x:v>
      </x:c>
      <x:c r="F23" s="15" t="n">
        <x:f>SUM(F5:F22)</x:f>
        <x:v>1937.24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ff9e8cd5a77447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2" hidden="0" customWidth="1"/>
    <x:col min="3" max="3" width="50" hidden="0" customWidth="1"/>
    <x:col min="4" max="4" width="42" hidden="0" customWidth="1"/>
    <x:col min="5" max="5" width="54" hidden="0" customWidth="1"/>
  </x:cols>
  <x:sheetData>
    <x:row r="1" ht="15" hidden="0" customHeight="1">
      <x:c r="A1" s="16" t="str">
        <x:v>Статус</x:v>
      </x:c>
      <x:c r="B1" s="16" t="str">
        <x:v>RefDes / позиция</x:v>
      </x:c>
      <x:c r="C1" s="16" t="str">
        <x:v>Что в корзине</x:v>
      </x:c>
      <x:c r="D1" s="16" t="str">
        <x:v>Требование Rev A</x:v>
      </x:c>
      <x:c r="E1" s="16" t="str">
        <x:v>Действие</x:v>
      </x:c>
    </x:row>
    <x:row r="2" ht="26.399999618530273" hidden="0" customHeight="1">
      <x:c r="A2" s="17" t="str">
        <x:v>ПРИНЯТО</x:v>
      </x:c>
      <x:c r="B2" s="17" t="str">
        <x:v>C2</x:v>
      </x:c>
      <x:c r="C2" s="17" t="str">
        <x:v>GRM21BR71E104KA01L: 100 нФ, 25 В, X7R, 0805</x:v>
      </x:c>
      <x:c r="D2" s="17" t="str">
        <x:v>C2 стоит на защищённой шине +12 V; 50 В было консервативным запасом</x:v>
      </x:c>
      <x:c r="E2" s="17" t="str">
        <x:v>Одобрено для регулируемого комнатного БП 12 В. Не использовать это решение для автомобильной сети.</x:v>
      </x:c>
    </x:row>
    <x:row r="3" ht="39.599998474121094" hidden="0" customHeight="1">
      <x:c r="A3" s="17" t="str">
        <x:v>J2 — ИЗМЕНЕНИЕ ПРИНЯТО</x:v>
      </x:c>
      <x:c r="B3" s="17" t="str">
        <x:v>J2</x:v>
      </x:c>
      <x:c r="C3" s="17" t="str">
        <x:v>DG308-2.54-05P: 5 контактов, шаг 2,54 мм, 6 А UL / 8 А IEC</x:v>
      </x:c>
      <x:c r="D3" s="17" t="str">
        <x:v>J2.1 несёт 3,33 А; J2.2…J2.5 примерно по 0,83 А</x:v>
      </x:c>
      <x:c r="E3" s="17" t="str">
        <x:v>Новый клеммник электрически подходит. Footprint и разводка PCB должны быть переделаны под шаг 2,54 мм и повторно проверены DRC.</x:v>
      </x:c>
    </x:row>
    <x:row r="4" ht="26.399999618530273" hidden="0" customHeight="1">
      <x:c r="A4" s="17" t="str">
        <x:v>OK</x:v>
      </x:c>
      <x:c r="B4" s="17" t="str">
        <x:v>C1</x:v>
      </x:c>
      <x:c r="C4" s="17" t="str">
        <x:v>EEUFR1E101: 100 µF, 25 В, Ø6,3×11,2 мм, шаг 2,50 мм</x:v>
      </x:c>
      <x:c r="D4" s="17" t="str">
        <x:v>100 µF, 25 В, THT radial D6.3, шаг 2,50 мм</x:v>
      </x:c>
      <x:c r="E4" s="17" t="str">
        <x:v>Точно соответствует электрическим требованиям и посадочному месту.</x:v>
      </x:c>
    </x:row>
    <x:row r="5" ht="39.599998474121094" hidden="0" customHeight="1">
      <x:c r="A5" s="17" t="str">
        <x:v>ПРИНЯТО С РИСКОМ</x:v>
      </x:c>
      <x:c r="B5" s="17" t="str">
        <x:v>F1 держатель</x:v>
      </x:c>
      <x:c r="C5" s="17" t="str">
        <x:v>S1052-1: 5x20, 4 А, 250 В; корпус 24×10×11 мм; выводы 22,4 мм / 1,2 мм</x:v>
      </x:c>
      <x:c r="D5" s="17" t="str">
        <x:v>Текущий footprint: центры 22,5 мм, отверстия 1,3 мм</x:v>
      </x:c>
      <x:c r="E5" s="17" t="str">
        <x:v>Оставляем footprint. Разница шага 0,1 мм несущественна; возможна плотная посадка из-за малого зазора в отверстиях. При необходимости аккуратно расширить отверстия вручную.</x:v>
      </x:c>
    </x:row>
    <x:row r="6" ht="15" hidden="0" customHeight="1">
      <x:c r="A6" s="17" t="str">
        <x:v>OK</x:v>
      </x:c>
      <x:c r="B6" s="17" t="str">
        <x:v>C5</x:v>
      </x:c>
      <x:c r="C6" s="17" t="str">
        <x:v>GRM188R72A104KA35D: 100 нФ, 100 В, X7R, 0603</x:v>
      </x:c>
      <x:c r="D6" s="17" t="str">
        <x:v>100 нФ, 0603; рекомендовано ≥16 В</x:v>
      </x:c>
      <x:c r="E6" s="17" t="str">
        <x:v>Подходит по ключевым параметрам.</x:v>
      </x:c>
    </x:row>
    <x:row r="7" ht="15" hidden="0" customHeight="1">
      <x:c r="A7" s="17" t="str">
        <x:v>OK</x:v>
      </x:c>
      <x:c r="B7" s="17" t="str">
        <x:v>C3, C4</x:v>
      </x:c>
      <x:c r="C7" s="17" t="str">
        <x:v>HLC1210X7R106K500N: 10 µF, 50 В, X7R, 1210</x:v>
      </x:c>
      <x:c r="D7" s="17" t="str">
        <x:v>10 µF, 50 В, 1210</x:v>
      </x:c>
      <x:c r="E7" s="17" t="str">
        <x:v>Подходит; учесть снижение ёмкости под DC bias.</x:v>
      </x:c>
    </x:row>
    <x:row r="8" ht="26.399999618530273" hidden="0" customHeight="1">
      <x:c r="A8" s="17" t="str">
        <x:v>OK</x:v>
      </x:c>
      <x:c r="B8" s="17" t="str">
        <x:v>C6, C7</x:v>
      </x:c>
      <x:c r="C8" s="17" t="str">
        <x:v>GRT21BR61E226ME13L, 0805, 22 µF</x:v>
      </x:c>
      <x:c r="D8" s="17" t="str">
        <x:v>22 µF, ≥16 В, 0805</x:v>
      </x:c>
      <x:c r="E8" s="17" t="str">
        <x:v>По маркировке подходит; перед заказом подтвердить напряжение в карточке товара.</x:v>
      </x:c>
    </x:row>
    <x:row r="9" ht="15" hidden="0" customHeight="1">
      <x:c r="A9" s="17" t="str">
        <x:v>OK</x:v>
      </x:c>
      <x:c r="B9" s="17" t="str">
        <x:v>D1</x:v>
      </x:c>
      <x:c r="C9" s="17" t="str">
        <x:v>SS14-E3/61T: 1 А, 40 В, SMA / DO-214AC</x:v>
      </x:c>
      <x:c r="D9" s="17" t="str">
        <x:v>SS14, SMA</x:v>
      </x:c>
      <x:c r="E9" s="17" t="str">
        <x:v>Точная корпусная и электрическая замена.</x:v>
      </x:c>
    </x:row>
    <x:row r="10" ht="15" hidden="0" customHeight="1">
      <x:c r="A10" s="17" t="str">
        <x:v>OK</x:v>
      </x:c>
      <x:c r="B10" s="17" t="str">
        <x:v>U1</x:v>
      </x:c>
      <x:c r="C10" s="17" t="str">
        <x:v>TPS54202DDCR, TSOT-23-6</x:v>
      </x:c>
      <x:c r="D10" s="17" t="str">
        <x:v>TPS54202DDCR, SOT-23-6</x:v>
      </x:c>
      <x:c r="E10" s="17" t="str">
        <x:v>Подходит.</x:v>
      </x:c>
    </x:row>
    <x:row r="11" ht="15" hidden="0" customHeight="1">
      <x:c r="A11" s="17" t="str">
        <x:v>OK</x:v>
      </x:c>
      <x:c r="B11" s="17" t="str">
        <x:v>Q1…Q4 / Q5</x:v>
      </x:c>
      <x:c r="C11" s="17" t="str">
        <x:v>AOD4184A и AOD4185</x:v>
      </x:c>
      <x:c r="D11" s="17" t="str">
        <x:v>Те же модели, TO-252/DPAK</x:v>
      </x:c>
      <x:c r="E11" s="17" t="str">
        <x:v>Модели совпадают; количество с большим запасом.</x:v>
      </x:c>
    </x:row>
    <x:row r="12" ht="15" hidden="0" customHeight="1">
      <x:c r="A12" s="17" t="str">
        <x:v>OK</x:v>
      </x:c>
      <x:c r="B12" s="17" t="str">
        <x:v>R3 / Rg / 100 kΩ</x:v>
      </x:c>
      <x:c r="C12" s="17" t="str">
        <x:v>13,7 kΩ; 100 Ω; 100 kΩ, все 0805</x:v>
      </x:c>
      <x:c r="D12" s="17" t="str">
        <x:v>Соответствующие номиналы 0805</x:v>
      </x:c>
      <x:c r="E12" s="17" t="str">
        <x:v>Подходят.</x:v>
      </x:c>
    </x:row>
    <x:row r="13" ht="39.599998474121094" hidden="0" customHeight="1">
      <x:c r="A13" s="17" t="str">
        <x:v>ИТОГ</x:v>
      </x:c>
      <x:c r="B13" s="17" t="str">
        <x:v>18 строк корзины</x:v>
      </x:c>
      <x:c r="C13" s="17" t="str">
        <x:v>Кириллица восстановлена; суммы строк и итог пересчитываются формулами</x:v>
      </x:c>
      <x:c r="D13" s="17" t="str">
        <x:v>Критических несовпадений в выбранных компонентах не осталось</x:v>
      </x:c>
      <x:c r="E13" s="17" t="str">
        <x:v>Перед заказом завершить/проверить изменение J2 в KiCad и выполнить DRC. F1 проверить физической примеркой на первой плате.</x:v>
      </x:c>
    </x:row>
  </x:sheetData>
  <x:conditionalFormatting sqref="A2:A13">
    <x:cfRule type="containsText" dxfId="0" priority="1" operator="containsText" text="ОШИБКА"/>
    <x:cfRule type="containsText" dxfId="1" priority="2" operator="containsText" text="ОТСУТСТВУЕТ"/>
    <x:cfRule type="containsText" dxfId="2" priority="3" operator="containsText" text="ПРОВЕРИТЬ"/>
    <x:cfRule type="containsText" dxfId="3" priority="4" operator="containsText" text="ПРИНЯТО"/>
    <x:cfRule type="containsText" dxfId="4" priority="5" operator="containsText" text="OK"/>
  </x:conditionalFormatting>
  <x:pageMargins left="0.7" right="0.7" top="0.75" bottom="0.75" header="0.3" footer="0.3"/>
  <x:tableParts count="1">
    <x:tablePart xmlns:r="http://schemas.openxmlformats.org/officeDocument/2006/relationships" r:id="Rcc35e167d6c44d88"/>
  </x:tableParts>
</x:worksheet>
</file>